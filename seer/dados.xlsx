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834635501c1f8f/Icaro/SEER2024/"/>
    </mc:Choice>
  </mc:AlternateContent>
  <xr:revisionPtr revIDLastSave="13" documentId="8_{31EA0FA8-3EF9-4286-B427-7892773F7FCD}" xr6:coauthVersionLast="47" xr6:coauthVersionMax="47" xr10:uidLastSave="{F022A814-0F27-4CA8-938C-7F9231A48261}"/>
  <bookViews>
    <workbookView xWindow="-23148" yWindow="-108" windowWidth="23256" windowHeight="12456" xr2:uid="{8E8E4CCD-5914-481F-B0F2-050A4BDDAA27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2" i="2"/>
</calcChain>
</file>

<file path=xl/sharedStrings.xml><?xml version="1.0" encoding="utf-8"?>
<sst xmlns="http://schemas.openxmlformats.org/spreadsheetml/2006/main" count="353" uniqueCount="151">
  <si>
    <t>IdTarefa</t>
  </si>
  <si>
    <t>DuracaoReal (dias)</t>
  </si>
  <si>
    <t>Trabalho Real (horas)</t>
  </si>
  <si>
    <t>Duração (dias)</t>
  </si>
  <si>
    <t>Término</t>
  </si>
  <si>
    <t>Início</t>
  </si>
  <si>
    <t>IdEtapa</t>
  </si>
  <si>
    <t>Trabalho (horas)</t>
  </si>
  <si>
    <t>Nome</t>
  </si>
  <si>
    <t>Crítico</t>
  </si>
  <si>
    <t>Trab Linha de Base (horas)</t>
  </si>
  <si>
    <t>Dur Linha de Base (dias)</t>
  </si>
  <si>
    <t>1.1</t>
  </si>
  <si>
    <t>Definir escopo do projeto</t>
  </si>
  <si>
    <t>Sim</t>
  </si>
  <si>
    <t>1.2</t>
  </si>
  <si>
    <t>Identificar partes interessadas</t>
  </si>
  <si>
    <t>Não</t>
  </si>
  <si>
    <t>1.3</t>
  </si>
  <si>
    <t>Elaborar termo de abertura do projeto</t>
  </si>
  <si>
    <t>2.1</t>
  </si>
  <si>
    <t>Desenvolver plano de gerenciamento</t>
  </si>
  <si>
    <t>2.2</t>
  </si>
  <si>
    <t>Criar cronograma detalhado</t>
  </si>
  <si>
    <t>2.3</t>
  </si>
  <si>
    <t>Estimar custos e elaborar orçamento</t>
  </si>
  <si>
    <t>2.4</t>
  </si>
  <si>
    <t>Planejar recursos e comunicação</t>
  </si>
  <si>
    <t>3.1</t>
  </si>
  <si>
    <t>Identificar terrenos potenciais</t>
  </si>
  <si>
    <t>3.2</t>
  </si>
  <si>
    <t>Avaliar viabilidade dos terrenos</t>
  </si>
  <si>
    <t>3.3</t>
  </si>
  <si>
    <t>Negociar aquisição do terreno</t>
  </si>
  <si>
    <t>3.4</t>
  </si>
  <si>
    <t>Formalizar documentação de aquisição</t>
  </si>
  <si>
    <t>4.1</t>
  </si>
  <si>
    <t>Preparar documentação para licenças</t>
  </si>
  <si>
    <t>4.2</t>
  </si>
  <si>
    <t>Submeter pedidos aos órgãos competentes</t>
  </si>
  <si>
    <t>4.3</t>
  </si>
  <si>
    <t>Acompanhar processo de aprovação</t>
  </si>
  <si>
    <t>4.4</t>
  </si>
  <si>
    <t>Obter licenças e autorizações</t>
  </si>
  <si>
    <t>5.1</t>
  </si>
  <si>
    <t>Elaboração dos projetos executivos</t>
  </si>
  <si>
    <t>5.2</t>
  </si>
  <si>
    <t>Especificação técnica dos equipamentos</t>
  </si>
  <si>
    <t>5.3</t>
  </si>
  <si>
    <t>Revisão e aprovação dos projetos</t>
  </si>
  <si>
    <t>6.1</t>
  </si>
  <si>
    <t>Preparação do terreno</t>
  </si>
  <si>
    <t>6.2</t>
  </si>
  <si>
    <t>Instalação de escritórios temporários</t>
  </si>
  <si>
    <t>6.3</t>
  </si>
  <si>
    <t>Implementação de segurança no canteiro</t>
  </si>
  <si>
    <t>7.1</t>
  </si>
  <si>
    <t>Seleção de fornecedores</t>
  </si>
  <si>
    <t>7.2</t>
  </si>
  <si>
    <t>Negociação e fechamento de contratos</t>
  </si>
  <si>
    <t>7.3</t>
  </si>
  <si>
    <t>Fabricação e entrega dos equipamentos</t>
  </si>
  <si>
    <t>8.1</t>
  </si>
  <si>
    <t>Recebimento das estruturas</t>
  </si>
  <si>
    <t>8.2</t>
  </si>
  <si>
    <t>8.3</t>
  </si>
  <si>
    <t>Montagem das estruturas</t>
  </si>
  <si>
    <t>8.4</t>
  </si>
  <si>
    <t>Inspeção das estruturas</t>
  </si>
  <si>
    <t>9.1</t>
  </si>
  <si>
    <t>Recebimento dos módulos</t>
  </si>
  <si>
    <t>9.2</t>
  </si>
  <si>
    <t>Instalação dos módulos</t>
  </si>
  <si>
    <t>9.3</t>
  </si>
  <si>
    <t>Conexão mecânica dos módulos</t>
  </si>
  <si>
    <t>9.4</t>
  </si>
  <si>
    <t>Inspeção dos módulos instalados</t>
  </si>
  <si>
    <t>10.1</t>
  </si>
  <si>
    <t>Cabeamento interno</t>
  </si>
  <si>
    <t>10.2</t>
  </si>
  <si>
    <t>Instalação dos inversores</t>
  </si>
  <si>
    <t>10.3</t>
  </si>
  <si>
    <t>Testes elétricos preliminares</t>
  </si>
  <si>
    <t>11.1</t>
  </si>
  <si>
    <t>Testes de desempenho</t>
  </si>
  <si>
    <t>11.2</t>
  </si>
  <si>
    <t>Ajustes finais</t>
  </si>
  <si>
    <t>11.3</t>
  </si>
  <si>
    <t>Aprovação final</t>
  </si>
  <si>
    <t>12.1</t>
  </si>
  <si>
    <t>Coordenação com a concessionária</t>
  </si>
  <si>
    <t>12.2</t>
  </si>
  <si>
    <t>Conexão física à rede</t>
  </si>
  <si>
    <t>12.3</t>
  </si>
  <si>
    <t>Testes de integração</t>
  </si>
  <si>
    <t>13.1</t>
  </si>
  <si>
    <t>Preparação do material de treinamento</t>
  </si>
  <si>
    <t>13.2</t>
  </si>
  <si>
    <t>Realização do treinamento</t>
  </si>
  <si>
    <t>13.3</t>
  </si>
  <si>
    <t>Avaliação do treinamento</t>
  </si>
  <si>
    <t>14.1</t>
  </si>
  <si>
    <t>Elaboração da documentação final</t>
  </si>
  <si>
    <t>14.2</t>
  </si>
  <si>
    <t>Reunião de encerramento</t>
  </si>
  <si>
    <t>14.3</t>
  </si>
  <si>
    <t>Arquivamento dos documentos</t>
  </si>
  <si>
    <t>14.4</t>
  </si>
  <si>
    <t>Lições aprendidas</t>
  </si>
  <si>
    <t>Tabela Atualizada com Valores Reais:</t>
  </si>
  <si>
    <t>Custo Real (R$)</t>
  </si>
  <si>
    <t>NomeEtapa</t>
  </si>
  <si>
    <t>Custo da Linha de Base (R$)</t>
  </si>
  <si>
    <t>Custo (R$)</t>
  </si>
  <si>
    <t>Iniciação do Projeto</t>
  </si>
  <si>
    <t>Planejamento do Projeto</t>
  </si>
  <si>
    <t>Aquisição de Terreno</t>
  </si>
  <si>
    <t>Licenças e Autorizações</t>
  </si>
  <si>
    <t>Engenharia e Design</t>
  </si>
  <si>
    <t>Mobilização do Canteiro de Obras</t>
  </si>
  <si>
    <t>Compra de Equipamentos</t>
  </si>
  <si>
    <t>Instalação das Estruturas de Suporte</t>
  </si>
  <si>
    <t>Instalação dos Módulos Fotovoltaicos</t>
  </si>
  <si>
    <t>Instalação Elétrica</t>
  </si>
  <si>
    <t>Comissionamento e Testes</t>
  </si>
  <si>
    <t>Conexão à Rede Elétrica</t>
  </si>
  <si>
    <t>Treinamento da Equipe</t>
  </si>
  <si>
    <t>Encerramento do Projeto</t>
  </si>
  <si>
    <t xml:space="preserve"> dias</t>
  </si>
  <si>
    <t>3 dias</t>
  </si>
  <si>
    <t>2 dias</t>
  </si>
  <si>
    <t>4 dias</t>
  </si>
  <si>
    <t>5 dias</t>
  </si>
  <si>
    <t>28 dias</t>
  </si>
  <si>
    <t>12 dias</t>
  </si>
  <si>
    <t>18 dias</t>
  </si>
  <si>
    <t>0 dias</t>
  </si>
  <si>
    <t>15 dias</t>
  </si>
  <si>
    <t>8 dias</t>
  </si>
  <si>
    <t>35 dias</t>
  </si>
  <si>
    <t>10 dias</t>
  </si>
  <si>
    <t>9 dias</t>
  </si>
  <si>
    <t>14 dias</t>
  </si>
  <si>
    <t>7 dias</t>
  </si>
  <si>
    <t>60 dias</t>
  </si>
  <si>
    <t>16 dias</t>
  </si>
  <si>
    <t>25 dias</t>
  </si>
  <si>
    <t>55 dias</t>
  </si>
  <si>
    <t>22 dias</t>
  </si>
  <si>
    <t>6 dias</t>
  </si>
  <si>
    <t>1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</si>
</sst>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1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FC7C9-B682-4659-8DC1-61F3A855E31D}">
  <dimension ref="A1:P51"/>
  <sheetViews>
    <sheetView tabSelected="1" topLeftCell="A2" workbookViewId="0">
      <selection activeCell="E3" sqref="E3"/>
    </sheetView>
  </sheetViews>
  <sheetFormatPr defaultRowHeight="14.4" x14ac:dyDescent="0.3"/>
  <cols>
    <col min="1" max="1" width="7.77734375" bestFit="1" customWidth="1"/>
    <col min="2" max="2" width="13.6640625" bestFit="1" customWidth="1"/>
    <col min="3" max="3" width="16.88671875" bestFit="1" customWidth="1"/>
    <col min="4" max="4" width="18.6640625" bestFit="1" customWidth="1"/>
    <col min="5" max="5" width="13.21875" bestFit="1" customWidth="1"/>
    <col min="6" max="7" width="10.33203125" bestFit="1" customWidth="1"/>
    <col min="8" max="8" width="7.44140625" bestFit="1" customWidth="1"/>
    <col min="9" max="9" width="31.21875" bestFit="1" customWidth="1"/>
    <col min="10" max="10" width="14.5546875" bestFit="1" customWidth="1"/>
    <col min="11" max="11" width="36" bestFit="1" customWidth="1"/>
    <col min="12" max="12" width="6.6640625" bestFit="1" customWidth="1"/>
    <col min="13" max="13" width="23.88671875" bestFit="1" customWidth="1"/>
    <col min="14" max="14" width="22.77734375" bestFit="1" customWidth="1"/>
    <col min="15" max="15" width="20.88671875" bestFit="1" customWidth="1"/>
    <col min="16" max="16" width="9.5546875" bestFit="1" customWidth="1"/>
  </cols>
  <sheetData>
    <row r="1" spans="1:16" ht="15.6" x14ac:dyDescent="0.3">
      <c r="A1" s="2" t="s">
        <v>109</v>
      </c>
    </row>
    <row r="3" spans="1:16" x14ac:dyDescent="0.3">
      <c r="A3" s="3" t="s">
        <v>0</v>
      </c>
      <c r="B3" s="3" t="s">
        <v>110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111</v>
      </c>
      <c r="J3" s="3" t="s">
        <v>7</v>
      </c>
      <c r="K3" s="3" t="s">
        <v>8</v>
      </c>
      <c r="L3" s="3" t="s">
        <v>9</v>
      </c>
      <c r="M3" s="3" t="s">
        <v>112</v>
      </c>
      <c r="N3" s="3" t="s">
        <v>10</v>
      </c>
      <c r="O3" s="3" t="s">
        <v>11</v>
      </c>
      <c r="P3" s="3" t="s">
        <v>113</v>
      </c>
    </row>
    <row r="4" spans="1:16" x14ac:dyDescent="0.3">
      <c r="A4" s="4" t="s">
        <v>12</v>
      </c>
      <c r="B4" s="5">
        <v>1200</v>
      </c>
      <c r="C4" s="4" t="s">
        <v>129</v>
      </c>
      <c r="D4" s="4">
        <v>24</v>
      </c>
      <c r="E4" s="1" t="s">
        <v>129</v>
      </c>
      <c r="F4" s="6">
        <v>45446</v>
      </c>
      <c r="G4" s="6">
        <v>45444</v>
      </c>
      <c r="H4" s="1">
        <v>1</v>
      </c>
      <c r="I4" s="1" t="s">
        <v>114</v>
      </c>
      <c r="J4" s="1">
        <v>24</v>
      </c>
      <c r="K4" s="1" t="s">
        <v>13</v>
      </c>
      <c r="L4" s="1" t="s">
        <v>14</v>
      </c>
      <c r="M4" s="7">
        <v>1000</v>
      </c>
      <c r="N4" s="1">
        <v>16</v>
      </c>
      <c r="O4" s="1">
        <v>2</v>
      </c>
      <c r="P4" s="7">
        <v>1200</v>
      </c>
    </row>
    <row r="5" spans="1:16" x14ac:dyDescent="0.3">
      <c r="A5" s="1" t="s">
        <v>15</v>
      </c>
      <c r="B5" s="1">
        <v>500</v>
      </c>
      <c r="C5" s="1" t="s">
        <v>130</v>
      </c>
      <c r="D5" s="1">
        <v>16</v>
      </c>
      <c r="E5" s="1" t="s">
        <v>130</v>
      </c>
      <c r="F5" s="6">
        <v>45448</v>
      </c>
      <c r="G5" s="6">
        <v>45447</v>
      </c>
      <c r="H5" s="1">
        <v>1</v>
      </c>
      <c r="I5" s="1" t="s">
        <v>114</v>
      </c>
      <c r="J5" s="1">
        <v>16</v>
      </c>
      <c r="K5" s="1" t="s">
        <v>16</v>
      </c>
      <c r="L5" s="1" t="s">
        <v>17</v>
      </c>
      <c r="M5" s="1">
        <v>500</v>
      </c>
      <c r="N5" s="1">
        <v>16</v>
      </c>
      <c r="O5" s="1">
        <v>2</v>
      </c>
      <c r="P5" s="1">
        <v>500</v>
      </c>
    </row>
    <row r="6" spans="1:16" x14ac:dyDescent="0.3">
      <c r="A6" s="4" t="s">
        <v>18</v>
      </c>
      <c r="B6" s="4">
        <v>600</v>
      </c>
      <c r="C6" s="4" t="s">
        <v>130</v>
      </c>
      <c r="D6" s="4">
        <v>12</v>
      </c>
      <c r="E6" s="1" t="s">
        <v>130</v>
      </c>
      <c r="F6" s="6">
        <v>45450</v>
      </c>
      <c r="G6" s="6">
        <v>45449</v>
      </c>
      <c r="H6" s="1">
        <v>1</v>
      </c>
      <c r="I6" s="1" t="s">
        <v>114</v>
      </c>
      <c r="J6" s="1">
        <v>12</v>
      </c>
      <c r="K6" s="1" t="s">
        <v>19</v>
      </c>
      <c r="L6" s="1" t="s">
        <v>14</v>
      </c>
      <c r="M6" s="1">
        <v>500</v>
      </c>
      <c r="N6" s="1">
        <v>8</v>
      </c>
      <c r="O6" s="1">
        <v>1</v>
      </c>
      <c r="P6" s="1">
        <v>600</v>
      </c>
    </row>
    <row r="7" spans="1:16" x14ac:dyDescent="0.3">
      <c r="A7" s="4" t="s">
        <v>20</v>
      </c>
      <c r="B7" s="5">
        <v>2200</v>
      </c>
      <c r="C7" s="4" t="s">
        <v>131</v>
      </c>
      <c r="D7" s="4">
        <v>32</v>
      </c>
      <c r="E7" s="1" t="s">
        <v>131</v>
      </c>
      <c r="F7" s="6">
        <v>45454</v>
      </c>
      <c r="G7" s="6">
        <v>45451</v>
      </c>
      <c r="H7" s="1">
        <v>2</v>
      </c>
      <c r="I7" s="1" t="s">
        <v>115</v>
      </c>
      <c r="J7" s="1">
        <v>32</v>
      </c>
      <c r="K7" s="1" t="s">
        <v>21</v>
      </c>
      <c r="L7" s="1" t="s">
        <v>14</v>
      </c>
      <c r="M7" s="7">
        <v>2000</v>
      </c>
      <c r="N7" s="1">
        <v>24</v>
      </c>
      <c r="O7" s="1">
        <v>3</v>
      </c>
      <c r="P7" s="7">
        <v>2200</v>
      </c>
    </row>
    <row r="8" spans="1:16" x14ac:dyDescent="0.3">
      <c r="A8" s="4" t="s">
        <v>22</v>
      </c>
      <c r="B8" s="5">
        <v>1800</v>
      </c>
      <c r="C8" s="4" t="s">
        <v>132</v>
      </c>
      <c r="D8" s="4">
        <v>40</v>
      </c>
      <c r="E8" s="1" t="s">
        <v>132</v>
      </c>
      <c r="F8" s="6">
        <v>45459</v>
      </c>
      <c r="G8" s="6">
        <v>45455</v>
      </c>
      <c r="H8" s="1">
        <v>2</v>
      </c>
      <c r="I8" s="1" t="s">
        <v>115</v>
      </c>
      <c r="J8" s="1">
        <v>40</v>
      </c>
      <c r="K8" s="1" t="s">
        <v>23</v>
      </c>
      <c r="L8" s="1" t="s">
        <v>14</v>
      </c>
      <c r="M8" s="7">
        <v>1500</v>
      </c>
      <c r="N8" s="1">
        <v>32</v>
      </c>
      <c r="O8" s="1">
        <v>4</v>
      </c>
      <c r="P8" s="7">
        <v>1800</v>
      </c>
    </row>
    <row r="9" spans="1:16" x14ac:dyDescent="0.3">
      <c r="A9" s="1" t="s">
        <v>24</v>
      </c>
      <c r="B9" s="7">
        <v>1400</v>
      </c>
      <c r="C9" s="1" t="s">
        <v>129</v>
      </c>
      <c r="D9" s="1">
        <v>24</v>
      </c>
      <c r="E9" s="1" t="s">
        <v>129</v>
      </c>
      <c r="F9" s="6">
        <v>45462</v>
      </c>
      <c r="G9" s="6">
        <v>45460</v>
      </c>
      <c r="H9" s="1">
        <v>2</v>
      </c>
      <c r="I9" s="1" t="s">
        <v>115</v>
      </c>
      <c r="J9" s="1">
        <v>24</v>
      </c>
      <c r="K9" s="1" t="s">
        <v>25</v>
      </c>
      <c r="L9" s="1" t="s">
        <v>14</v>
      </c>
      <c r="M9" s="7">
        <v>1500</v>
      </c>
      <c r="N9" s="1">
        <v>24</v>
      </c>
      <c r="O9" s="1">
        <v>3</v>
      </c>
      <c r="P9" s="7">
        <v>1400</v>
      </c>
    </row>
    <row r="10" spans="1:16" x14ac:dyDescent="0.3">
      <c r="A10" s="1" t="s">
        <v>26</v>
      </c>
      <c r="B10" s="7">
        <v>1000</v>
      </c>
      <c r="C10" s="1" t="s">
        <v>130</v>
      </c>
      <c r="D10" s="1">
        <v>16</v>
      </c>
      <c r="E10" s="1" t="s">
        <v>130</v>
      </c>
      <c r="F10" s="6">
        <v>45464</v>
      </c>
      <c r="G10" s="6">
        <v>45463</v>
      </c>
      <c r="H10" s="1">
        <v>2</v>
      </c>
      <c r="I10" s="1" t="s">
        <v>115</v>
      </c>
      <c r="J10" s="1">
        <v>16</v>
      </c>
      <c r="K10" s="1" t="s">
        <v>27</v>
      </c>
      <c r="L10" s="1" t="s">
        <v>17</v>
      </c>
      <c r="M10" s="7">
        <v>1000</v>
      </c>
      <c r="N10" s="1">
        <v>16</v>
      </c>
      <c r="O10" s="1">
        <v>2</v>
      </c>
      <c r="P10" s="7">
        <v>1000</v>
      </c>
    </row>
    <row r="11" spans="1:16" x14ac:dyDescent="0.3">
      <c r="A11" s="4" t="s">
        <v>28</v>
      </c>
      <c r="B11" s="5">
        <v>6000</v>
      </c>
      <c r="C11" s="4" t="s">
        <v>133</v>
      </c>
      <c r="D11" s="4">
        <v>224</v>
      </c>
      <c r="E11" s="1" t="s">
        <v>133</v>
      </c>
      <c r="F11" s="6">
        <v>45492</v>
      </c>
      <c r="G11" s="6">
        <v>45465</v>
      </c>
      <c r="H11" s="1">
        <v>3</v>
      </c>
      <c r="I11" s="1" t="s">
        <v>116</v>
      </c>
      <c r="J11" s="1">
        <v>224</v>
      </c>
      <c r="K11" s="1" t="s">
        <v>29</v>
      </c>
      <c r="L11" s="1" t="s">
        <v>14</v>
      </c>
      <c r="M11" s="7">
        <v>5000</v>
      </c>
      <c r="N11" s="1">
        <v>80</v>
      </c>
      <c r="O11" s="1">
        <v>10</v>
      </c>
      <c r="P11" s="7">
        <v>6000</v>
      </c>
    </row>
    <row r="12" spans="1:16" x14ac:dyDescent="0.3">
      <c r="A12" s="4" t="s">
        <v>30</v>
      </c>
      <c r="B12" s="5">
        <v>2500</v>
      </c>
      <c r="C12" s="4" t="s">
        <v>134</v>
      </c>
      <c r="D12" s="4">
        <v>96</v>
      </c>
      <c r="E12" s="1" t="s">
        <v>134</v>
      </c>
      <c r="F12" s="6">
        <v>45506</v>
      </c>
      <c r="G12" s="6">
        <v>45493</v>
      </c>
      <c r="H12" s="1">
        <v>3</v>
      </c>
      <c r="I12" s="1" t="s">
        <v>116</v>
      </c>
      <c r="J12" s="1">
        <v>96</v>
      </c>
      <c r="K12" s="1" t="s">
        <v>31</v>
      </c>
      <c r="L12" s="1" t="s">
        <v>14</v>
      </c>
      <c r="M12" s="7">
        <v>2000</v>
      </c>
      <c r="N12" s="1">
        <v>40</v>
      </c>
      <c r="O12" s="1">
        <v>5</v>
      </c>
      <c r="P12" s="7">
        <v>2500</v>
      </c>
    </row>
    <row r="13" spans="1:16" x14ac:dyDescent="0.3">
      <c r="A13" s="4" t="s">
        <v>32</v>
      </c>
      <c r="B13" s="5">
        <v>6500</v>
      </c>
      <c r="C13" s="4" t="s">
        <v>135</v>
      </c>
      <c r="D13" s="4">
        <v>144</v>
      </c>
      <c r="E13" s="1" t="s">
        <v>135</v>
      </c>
      <c r="F13" s="6">
        <v>45524</v>
      </c>
      <c r="G13" s="6">
        <v>45507</v>
      </c>
      <c r="H13" s="1">
        <v>3</v>
      </c>
      <c r="I13" s="1" t="s">
        <v>116</v>
      </c>
      <c r="J13" s="1">
        <v>144</v>
      </c>
      <c r="K13" s="1" t="s">
        <v>33</v>
      </c>
      <c r="L13" s="1" t="s">
        <v>14</v>
      </c>
      <c r="M13" s="7">
        <v>5000</v>
      </c>
      <c r="N13" s="1">
        <v>80</v>
      </c>
      <c r="O13" s="1">
        <v>10</v>
      </c>
      <c r="P13" s="7">
        <v>6500</v>
      </c>
    </row>
    <row r="14" spans="1:16" x14ac:dyDescent="0.3">
      <c r="A14" s="1" t="s">
        <v>34</v>
      </c>
      <c r="B14" s="1">
        <v>0</v>
      </c>
      <c r="C14" s="1" t="s">
        <v>136</v>
      </c>
      <c r="D14" s="1">
        <v>0</v>
      </c>
      <c r="E14" s="1" t="s">
        <v>143</v>
      </c>
      <c r="F14" s="6">
        <v>45531</v>
      </c>
      <c r="G14" s="6">
        <v>45525</v>
      </c>
      <c r="H14" s="1">
        <v>3</v>
      </c>
      <c r="I14" s="1" t="s">
        <v>116</v>
      </c>
      <c r="J14" s="1">
        <v>56</v>
      </c>
      <c r="K14" s="1" t="s">
        <v>35</v>
      </c>
      <c r="L14" s="1" t="s">
        <v>17</v>
      </c>
      <c r="M14" s="7">
        <v>38000</v>
      </c>
      <c r="N14" s="1">
        <v>40</v>
      </c>
      <c r="O14" s="1">
        <v>5</v>
      </c>
      <c r="P14" s="7">
        <v>40000</v>
      </c>
    </row>
    <row r="15" spans="1:16" x14ac:dyDescent="0.3">
      <c r="A15" s="4" t="s">
        <v>36</v>
      </c>
      <c r="B15" s="5">
        <v>3500</v>
      </c>
      <c r="C15" s="4" t="s">
        <v>137</v>
      </c>
      <c r="D15" s="4">
        <v>120</v>
      </c>
      <c r="E15" s="1" t="s">
        <v>137</v>
      </c>
      <c r="F15" s="6">
        <v>45485</v>
      </c>
      <c r="G15" s="6">
        <v>45467</v>
      </c>
      <c r="H15" s="1">
        <v>4</v>
      </c>
      <c r="I15" s="1" t="s">
        <v>117</v>
      </c>
      <c r="J15" s="1">
        <v>120</v>
      </c>
      <c r="K15" s="1" t="s">
        <v>37</v>
      </c>
      <c r="L15" s="1" t="s">
        <v>14</v>
      </c>
      <c r="M15" s="7">
        <v>3000</v>
      </c>
      <c r="N15" s="1">
        <v>80</v>
      </c>
      <c r="O15" s="1">
        <v>10</v>
      </c>
      <c r="P15" s="7">
        <v>3500</v>
      </c>
    </row>
    <row r="16" spans="1:16" x14ac:dyDescent="0.3">
      <c r="A16" s="4" t="s">
        <v>38</v>
      </c>
      <c r="B16" s="5">
        <v>2500</v>
      </c>
      <c r="C16" s="4" t="s">
        <v>138</v>
      </c>
      <c r="D16" s="4">
        <v>64</v>
      </c>
      <c r="E16" s="1" t="s">
        <v>138</v>
      </c>
      <c r="F16" s="6">
        <v>45493</v>
      </c>
      <c r="G16" s="6">
        <v>45486</v>
      </c>
      <c r="H16" s="1">
        <v>4</v>
      </c>
      <c r="I16" s="1" t="s">
        <v>117</v>
      </c>
      <c r="J16" s="1">
        <v>64</v>
      </c>
      <c r="K16" s="1" t="s">
        <v>39</v>
      </c>
      <c r="L16" s="1" t="s">
        <v>14</v>
      </c>
      <c r="M16" s="7">
        <v>2000</v>
      </c>
      <c r="N16" s="1">
        <v>40</v>
      </c>
      <c r="O16" s="1">
        <v>5</v>
      </c>
      <c r="P16" s="7">
        <v>2500</v>
      </c>
    </row>
    <row r="17" spans="1:16" x14ac:dyDescent="0.3">
      <c r="A17" s="4" t="s">
        <v>40</v>
      </c>
      <c r="B17" s="5">
        <v>5500</v>
      </c>
      <c r="C17" s="4" t="s">
        <v>139</v>
      </c>
      <c r="D17" s="4">
        <v>280</v>
      </c>
      <c r="E17" s="1" t="s">
        <v>139</v>
      </c>
      <c r="F17" s="6">
        <v>45528</v>
      </c>
      <c r="G17" s="6">
        <v>45494</v>
      </c>
      <c r="H17" s="1">
        <v>4</v>
      </c>
      <c r="I17" s="1" t="s">
        <v>117</v>
      </c>
      <c r="J17" s="1">
        <v>280</v>
      </c>
      <c r="K17" s="1" t="s">
        <v>41</v>
      </c>
      <c r="L17" s="1" t="s">
        <v>14</v>
      </c>
      <c r="M17" s="7">
        <v>4000</v>
      </c>
      <c r="N17" s="1">
        <v>200</v>
      </c>
      <c r="O17" s="1">
        <v>25</v>
      </c>
      <c r="P17" s="7">
        <v>5500</v>
      </c>
    </row>
    <row r="18" spans="1:16" x14ac:dyDescent="0.3">
      <c r="A18" s="4" t="s">
        <v>42</v>
      </c>
      <c r="B18" s="5">
        <v>1500</v>
      </c>
      <c r="C18" s="4" t="s">
        <v>138</v>
      </c>
      <c r="D18" s="4">
        <v>64</v>
      </c>
      <c r="E18" s="1" t="s">
        <v>138</v>
      </c>
      <c r="F18" s="6">
        <v>45536</v>
      </c>
      <c r="G18" s="6">
        <v>45529</v>
      </c>
      <c r="H18" s="1">
        <v>4</v>
      </c>
      <c r="I18" s="1" t="s">
        <v>117</v>
      </c>
      <c r="J18" s="1">
        <v>64</v>
      </c>
      <c r="K18" s="1" t="s">
        <v>43</v>
      </c>
      <c r="L18" s="1" t="s">
        <v>14</v>
      </c>
      <c r="M18" s="7">
        <v>1000</v>
      </c>
      <c r="N18" s="1">
        <v>40</v>
      </c>
      <c r="O18" s="1">
        <v>5</v>
      </c>
      <c r="P18" s="7">
        <v>1500</v>
      </c>
    </row>
    <row r="19" spans="1:16" x14ac:dyDescent="0.3">
      <c r="A19" s="4" t="s">
        <v>44</v>
      </c>
      <c r="B19" s="5">
        <v>10000</v>
      </c>
      <c r="C19" s="4" t="s">
        <v>140</v>
      </c>
      <c r="D19" s="4">
        <v>80</v>
      </c>
      <c r="E19" s="1" t="s">
        <v>140</v>
      </c>
      <c r="F19" s="6">
        <v>45476</v>
      </c>
      <c r="G19" s="6">
        <v>45467</v>
      </c>
      <c r="H19" s="1">
        <v>5</v>
      </c>
      <c r="I19" s="1" t="s">
        <v>118</v>
      </c>
      <c r="J19" s="1">
        <v>80</v>
      </c>
      <c r="K19" s="1" t="s">
        <v>45</v>
      </c>
      <c r="L19" s="1" t="s">
        <v>14</v>
      </c>
      <c r="M19" s="7">
        <v>10000</v>
      </c>
      <c r="N19" s="1">
        <v>80</v>
      </c>
      <c r="O19" s="1">
        <v>10</v>
      </c>
      <c r="P19" s="7">
        <v>10000</v>
      </c>
    </row>
    <row r="20" spans="1:16" x14ac:dyDescent="0.3">
      <c r="A20" s="1" t="s">
        <v>46</v>
      </c>
      <c r="B20" s="7">
        <v>5000</v>
      </c>
      <c r="C20" s="1" t="s">
        <v>132</v>
      </c>
      <c r="D20" s="1">
        <v>40</v>
      </c>
      <c r="E20" s="1" t="s">
        <v>132</v>
      </c>
      <c r="F20" s="6">
        <v>45483</v>
      </c>
      <c r="G20" s="6">
        <v>45477</v>
      </c>
      <c r="H20" s="1">
        <v>5</v>
      </c>
      <c r="I20" s="1" t="s">
        <v>118</v>
      </c>
      <c r="J20" s="1">
        <v>40</v>
      </c>
      <c r="K20" s="1" t="s">
        <v>47</v>
      </c>
      <c r="L20" s="1" t="s">
        <v>17</v>
      </c>
      <c r="M20" s="7">
        <v>5000</v>
      </c>
      <c r="N20" s="1">
        <v>40</v>
      </c>
      <c r="O20" s="1">
        <v>5</v>
      </c>
      <c r="P20" s="7">
        <v>5000</v>
      </c>
    </row>
    <row r="21" spans="1:16" x14ac:dyDescent="0.3">
      <c r="A21" s="1" t="s">
        <v>48</v>
      </c>
      <c r="B21" s="7">
        <v>5000</v>
      </c>
      <c r="C21" s="1" t="s">
        <v>132</v>
      </c>
      <c r="D21" s="1">
        <v>40</v>
      </c>
      <c r="E21" s="1" t="s">
        <v>132</v>
      </c>
      <c r="F21" s="6">
        <v>45490</v>
      </c>
      <c r="G21" s="6">
        <v>45484</v>
      </c>
      <c r="H21" s="1">
        <v>5</v>
      </c>
      <c r="I21" s="1" t="s">
        <v>118</v>
      </c>
      <c r="J21" s="1">
        <v>40</v>
      </c>
      <c r="K21" s="1" t="s">
        <v>49</v>
      </c>
      <c r="L21" s="1" t="s">
        <v>17</v>
      </c>
      <c r="M21" s="7">
        <v>5000</v>
      </c>
      <c r="N21" s="1">
        <v>40</v>
      </c>
      <c r="O21" s="1">
        <v>5</v>
      </c>
      <c r="P21" s="7">
        <v>5000</v>
      </c>
    </row>
    <row r="22" spans="1:16" x14ac:dyDescent="0.3">
      <c r="A22" s="4" t="s">
        <v>50</v>
      </c>
      <c r="B22" s="5">
        <v>6500</v>
      </c>
      <c r="C22" s="4" t="s">
        <v>141</v>
      </c>
      <c r="D22" s="4">
        <v>72</v>
      </c>
      <c r="E22" s="1" t="s">
        <v>143</v>
      </c>
      <c r="F22" s="6">
        <v>45519</v>
      </c>
      <c r="G22" s="6">
        <v>45511</v>
      </c>
      <c r="H22" s="1">
        <v>6</v>
      </c>
      <c r="I22" s="1" t="s">
        <v>119</v>
      </c>
      <c r="J22" s="1">
        <v>56</v>
      </c>
      <c r="K22" s="1" t="s">
        <v>51</v>
      </c>
      <c r="L22" s="1" t="s">
        <v>14</v>
      </c>
      <c r="M22" s="7">
        <v>5000</v>
      </c>
      <c r="N22" s="1">
        <v>40</v>
      </c>
      <c r="O22" s="1">
        <v>5</v>
      </c>
      <c r="P22" s="7">
        <v>6000</v>
      </c>
    </row>
    <row r="23" spans="1:16" x14ac:dyDescent="0.3">
      <c r="A23" s="4" t="s">
        <v>52</v>
      </c>
      <c r="B23" s="5">
        <v>5500</v>
      </c>
      <c r="C23" s="4" t="s">
        <v>132</v>
      </c>
      <c r="D23" s="4">
        <v>40</v>
      </c>
      <c r="E23" s="1" t="s">
        <v>132</v>
      </c>
      <c r="F23" s="6">
        <v>45522</v>
      </c>
      <c r="G23" s="6">
        <v>45518</v>
      </c>
      <c r="H23" s="1">
        <v>6</v>
      </c>
      <c r="I23" s="1" t="s">
        <v>119</v>
      </c>
      <c r="J23" s="1">
        <v>40</v>
      </c>
      <c r="K23" s="1" t="s">
        <v>53</v>
      </c>
      <c r="L23" s="1" t="s">
        <v>14</v>
      </c>
      <c r="M23" s="7">
        <v>5000</v>
      </c>
      <c r="N23" s="1">
        <v>24</v>
      </c>
      <c r="O23" s="1">
        <v>3</v>
      </c>
      <c r="P23" s="7">
        <v>5500</v>
      </c>
    </row>
    <row r="24" spans="1:16" x14ac:dyDescent="0.3">
      <c r="A24" s="1" t="s">
        <v>54</v>
      </c>
      <c r="B24" s="7">
        <v>5000</v>
      </c>
      <c r="C24" s="1" t="s">
        <v>130</v>
      </c>
      <c r="D24" s="1">
        <v>16</v>
      </c>
      <c r="E24" s="1" t="s">
        <v>130</v>
      </c>
      <c r="F24" s="6">
        <v>45524</v>
      </c>
      <c r="G24" s="6">
        <v>45523</v>
      </c>
      <c r="H24" s="1">
        <v>6</v>
      </c>
      <c r="I24" s="1" t="s">
        <v>119</v>
      </c>
      <c r="J24" s="1">
        <v>16</v>
      </c>
      <c r="K24" s="1" t="s">
        <v>55</v>
      </c>
      <c r="L24" s="1" t="s">
        <v>17</v>
      </c>
      <c r="M24" s="7">
        <v>5000</v>
      </c>
      <c r="N24" s="1">
        <v>16</v>
      </c>
      <c r="O24" s="1">
        <v>2</v>
      </c>
      <c r="P24" s="7">
        <v>5000</v>
      </c>
    </row>
    <row r="25" spans="1:16" x14ac:dyDescent="0.3">
      <c r="A25" s="4" t="s">
        <v>56</v>
      </c>
      <c r="B25" s="5">
        <v>11000</v>
      </c>
      <c r="C25" s="4" t="s">
        <v>142</v>
      </c>
      <c r="D25" s="4">
        <v>112</v>
      </c>
      <c r="E25" s="1" t="s">
        <v>142</v>
      </c>
      <c r="F25" s="6">
        <v>45507</v>
      </c>
      <c r="G25" s="6">
        <v>45494</v>
      </c>
      <c r="H25" s="1">
        <v>7</v>
      </c>
      <c r="I25" s="1" t="s">
        <v>120</v>
      </c>
      <c r="J25" s="1">
        <v>112</v>
      </c>
      <c r="K25" s="1" t="s">
        <v>57</v>
      </c>
      <c r="L25" s="1" t="s">
        <v>14</v>
      </c>
      <c r="M25" s="7">
        <v>10000</v>
      </c>
      <c r="N25" s="1">
        <v>80</v>
      </c>
      <c r="O25" s="1">
        <v>10</v>
      </c>
      <c r="P25" s="7">
        <v>11000</v>
      </c>
    </row>
    <row r="26" spans="1:16" x14ac:dyDescent="0.3">
      <c r="A26" s="4" t="s">
        <v>58</v>
      </c>
      <c r="B26" s="5">
        <v>22000</v>
      </c>
      <c r="C26" s="4" t="s">
        <v>143</v>
      </c>
      <c r="D26" s="4">
        <v>56</v>
      </c>
      <c r="E26" s="1" t="s">
        <v>143</v>
      </c>
      <c r="F26" s="6">
        <v>45514</v>
      </c>
      <c r="G26" s="6">
        <v>45508</v>
      </c>
      <c r="H26" s="1">
        <v>7</v>
      </c>
      <c r="I26" s="1" t="s">
        <v>120</v>
      </c>
      <c r="J26" s="1">
        <v>56</v>
      </c>
      <c r="K26" s="1" t="s">
        <v>59</v>
      </c>
      <c r="L26" s="1" t="s">
        <v>14</v>
      </c>
      <c r="M26" s="7">
        <v>20000</v>
      </c>
      <c r="N26" s="1">
        <v>40</v>
      </c>
      <c r="O26" s="1">
        <v>5</v>
      </c>
      <c r="P26" s="7">
        <v>22000</v>
      </c>
    </row>
    <row r="27" spans="1:16" x14ac:dyDescent="0.3">
      <c r="A27" s="4" t="s">
        <v>60</v>
      </c>
      <c r="B27" s="5">
        <v>780000</v>
      </c>
      <c r="C27" s="4" t="s">
        <v>144</v>
      </c>
      <c r="D27" s="4">
        <v>480</v>
      </c>
      <c r="E27" s="1" t="s">
        <v>147</v>
      </c>
      <c r="F27" s="6">
        <v>45571</v>
      </c>
      <c r="G27" s="6">
        <v>45515</v>
      </c>
      <c r="H27" s="1">
        <v>7</v>
      </c>
      <c r="I27" s="1" t="s">
        <v>120</v>
      </c>
      <c r="J27" s="1">
        <v>440</v>
      </c>
      <c r="K27" s="1" t="s">
        <v>61</v>
      </c>
      <c r="L27" s="1" t="s">
        <v>14</v>
      </c>
      <c r="M27" s="7">
        <v>770000</v>
      </c>
      <c r="N27" s="1">
        <v>360</v>
      </c>
      <c r="O27" s="1">
        <v>45</v>
      </c>
      <c r="P27" s="7">
        <v>780000</v>
      </c>
    </row>
    <row r="28" spans="1:16" x14ac:dyDescent="0.3">
      <c r="A28" s="4" t="s">
        <v>62</v>
      </c>
      <c r="B28" s="5">
        <v>5500</v>
      </c>
      <c r="C28" s="4" t="s">
        <v>131</v>
      </c>
      <c r="D28" s="4">
        <v>32</v>
      </c>
      <c r="E28" s="1" t="s">
        <v>131</v>
      </c>
      <c r="F28" s="6">
        <v>45574</v>
      </c>
      <c r="G28" s="6">
        <v>45571</v>
      </c>
      <c r="H28" s="1">
        <v>8</v>
      </c>
      <c r="I28" s="1" t="s">
        <v>121</v>
      </c>
      <c r="J28" s="1">
        <v>32</v>
      </c>
      <c r="K28" s="1" t="s">
        <v>63</v>
      </c>
      <c r="L28" s="1" t="s">
        <v>14</v>
      </c>
      <c r="M28" s="7">
        <v>5000</v>
      </c>
      <c r="N28" s="1">
        <v>16</v>
      </c>
      <c r="O28" s="1">
        <v>2</v>
      </c>
      <c r="P28" s="7">
        <v>5500</v>
      </c>
    </row>
    <row r="29" spans="1:16" x14ac:dyDescent="0.3">
      <c r="A29" s="4" t="s">
        <v>64</v>
      </c>
      <c r="B29" s="5">
        <v>11000</v>
      </c>
      <c r="C29" s="4" t="s">
        <v>138</v>
      </c>
      <c r="D29" s="4">
        <v>64</v>
      </c>
      <c r="E29" s="1" t="s">
        <v>138</v>
      </c>
      <c r="F29" s="6">
        <v>45582</v>
      </c>
      <c r="G29" s="6">
        <v>45575</v>
      </c>
      <c r="H29" s="1">
        <v>8</v>
      </c>
      <c r="I29" s="1" t="s">
        <v>121</v>
      </c>
      <c r="J29" s="1">
        <v>64</v>
      </c>
      <c r="K29" s="1" t="s">
        <v>51</v>
      </c>
      <c r="L29" s="1" t="s">
        <v>14</v>
      </c>
      <c r="M29" s="7">
        <v>10000</v>
      </c>
      <c r="N29" s="1">
        <v>40</v>
      </c>
      <c r="O29" s="1">
        <v>5</v>
      </c>
      <c r="P29" s="7">
        <v>11000</v>
      </c>
    </row>
    <row r="30" spans="1:16" x14ac:dyDescent="0.3">
      <c r="A30" s="4" t="s">
        <v>65</v>
      </c>
      <c r="B30" s="5">
        <v>33000</v>
      </c>
      <c r="C30" s="4" t="s">
        <v>145</v>
      </c>
      <c r="D30" s="4">
        <v>128</v>
      </c>
      <c r="E30" s="1" t="s">
        <v>142</v>
      </c>
      <c r="F30" s="6">
        <v>45597</v>
      </c>
      <c r="G30" s="6">
        <v>45583</v>
      </c>
      <c r="H30" s="1">
        <v>8</v>
      </c>
      <c r="I30" s="1" t="s">
        <v>121</v>
      </c>
      <c r="J30" s="1">
        <v>112</v>
      </c>
      <c r="K30" s="1" t="s">
        <v>66</v>
      </c>
      <c r="L30" s="1" t="s">
        <v>14</v>
      </c>
      <c r="M30" s="7">
        <v>30000</v>
      </c>
      <c r="N30" s="1">
        <v>80</v>
      </c>
      <c r="O30" s="1">
        <v>10</v>
      </c>
      <c r="P30" s="7">
        <v>33000</v>
      </c>
    </row>
    <row r="31" spans="1:16" x14ac:dyDescent="0.3">
      <c r="A31" s="4" t="s">
        <v>67</v>
      </c>
      <c r="B31" s="5">
        <v>5000</v>
      </c>
      <c r="C31" s="4" t="s">
        <v>136</v>
      </c>
      <c r="D31" s="4">
        <v>0</v>
      </c>
      <c r="E31" s="1" t="s">
        <v>129</v>
      </c>
      <c r="F31" s="6">
        <v>45600</v>
      </c>
      <c r="G31" s="6">
        <v>45598</v>
      </c>
      <c r="H31" s="1">
        <v>8</v>
      </c>
      <c r="I31" s="1" t="s">
        <v>121</v>
      </c>
      <c r="J31" s="1">
        <v>24</v>
      </c>
      <c r="K31" s="1" t="s">
        <v>68</v>
      </c>
      <c r="L31" s="1" t="s">
        <v>17</v>
      </c>
      <c r="M31" s="7">
        <v>5000</v>
      </c>
      <c r="N31" s="1">
        <v>24</v>
      </c>
      <c r="O31" s="1">
        <v>3</v>
      </c>
      <c r="P31" s="7">
        <v>5000</v>
      </c>
    </row>
    <row r="32" spans="1:16" x14ac:dyDescent="0.3">
      <c r="A32" s="4" t="s">
        <v>69</v>
      </c>
      <c r="B32" s="5">
        <v>5500</v>
      </c>
      <c r="C32" s="4" t="s">
        <v>131</v>
      </c>
      <c r="D32" s="4">
        <v>32</v>
      </c>
      <c r="E32" s="1" t="s">
        <v>129</v>
      </c>
      <c r="F32" s="6">
        <v>45570</v>
      </c>
      <c r="G32" s="6">
        <v>45567</v>
      </c>
      <c r="H32" s="1">
        <v>9</v>
      </c>
      <c r="I32" s="1" t="s">
        <v>122</v>
      </c>
      <c r="J32" s="1">
        <v>24</v>
      </c>
      <c r="K32" s="1" t="s">
        <v>70</v>
      </c>
      <c r="L32" s="1" t="s">
        <v>14</v>
      </c>
      <c r="M32" s="7">
        <v>5000</v>
      </c>
      <c r="N32" s="1">
        <v>16</v>
      </c>
      <c r="O32" s="1">
        <v>2</v>
      </c>
      <c r="P32" s="7">
        <v>5500</v>
      </c>
    </row>
    <row r="33" spans="1:16" x14ac:dyDescent="0.3">
      <c r="A33" s="4" t="s">
        <v>71</v>
      </c>
      <c r="B33" s="5">
        <v>88000</v>
      </c>
      <c r="C33" s="4" t="s">
        <v>146</v>
      </c>
      <c r="D33" s="4">
        <v>200</v>
      </c>
      <c r="E33" s="1" t="s">
        <v>148</v>
      </c>
      <c r="F33" s="6">
        <v>45592</v>
      </c>
      <c r="G33" s="6">
        <v>45571</v>
      </c>
      <c r="H33" s="1">
        <v>9</v>
      </c>
      <c r="I33" s="1" t="s">
        <v>122</v>
      </c>
      <c r="J33" s="1">
        <v>176</v>
      </c>
      <c r="K33" s="1" t="s">
        <v>72</v>
      </c>
      <c r="L33" s="1" t="s">
        <v>14</v>
      </c>
      <c r="M33" s="7">
        <v>80000</v>
      </c>
      <c r="N33" s="1">
        <v>160</v>
      </c>
      <c r="O33" s="1">
        <v>20</v>
      </c>
      <c r="P33" s="7">
        <v>88000</v>
      </c>
    </row>
    <row r="34" spans="1:16" x14ac:dyDescent="0.3">
      <c r="A34" s="4" t="s">
        <v>73</v>
      </c>
      <c r="B34" s="5">
        <v>11000</v>
      </c>
      <c r="C34" s="4" t="s">
        <v>143</v>
      </c>
      <c r="D34" s="4">
        <v>56</v>
      </c>
      <c r="E34" s="1" t="s">
        <v>149</v>
      </c>
      <c r="F34" s="6">
        <v>45599</v>
      </c>
      <c r="G34" s="6">
        <v>45593</v>
      </c>
      <c r="H34" s="1">
        <v>9</v>
      </c>
      <c r="I34" s="1" t="s">
        <v>122</v>
      </c>
      <c r="J34" s="1">
        <v>48</v>
      </c>
      <c r="K34" s="1" t="s">
        <v>74</v>
      </c>
      <c r="L34" s="1" t="s">
        <v>14</v>
      </c>
      <c r="M34" s="7">
        <v>10000</v>
      </c>
      <c r="N34" s="1">
        <v>40</v>
      </c>
      <c r="O34" s="1">
        <v>5</v>
      </c>
      <c r="P34" s="7">
        <v>11000</v>
      </c>
    </row>
    <row r="35" spans="1:16" x14ac:dyDescent="0.3">
      <c r="A35" s="1" t="s">
        <v>75</v>
      </c>
      <c r="B35" s="1">
        <v>0</v>
      </c>
      <c r="C35" s="1" t="s">
        <v>136</v>
      </c>
      <c r="D35" s="1">
        <v>0</v>
      </c>
      <c r="E35" s="1" t="s">
        <v>129</v>
      </c>
      <c r="F35" s="6">
        <v>45602</v>
      </c>
      <c r="G35" s="6">
        <v>45600</v>
      </c>
      <c r="H35" s="1">
        <v>9</v>
      </c>
      <c r="I35" s="1" t="s">
        <v>122</v>
      </c>
      <c r="J35" s="1">
        <v>24</v>
      </c>
      <c r="K35" s="1" t="s">
        <v>76</v>
      </c>
      <c r="L35" s="1" t="s">
        <v>17</v>
      </c>
      <c r="M35" s="7">
        <v>5000</v>
      </c>
      <c r="N35" s="1">
        <v>24</v>
      </c>
      <c r="O35" s="1">
        <v>3</v>
      </c>
      <c r="P35" s="7">
        <v>5000</v>
      </c>
    </row>
    <row r="36" spans="1:16" x14ac:dyDescent="0.3">
      <c r="A36" s="4" t="s">
        <v>77</v>
      </c>
      <c r="B36" s="1">
        <v>0</v>
      </c>
      <c r="C36" s="1" t="s">
        <v>136</v>
      </c>
      <c r="D36" s="1">
        <v>0</v>
      </c>
      <c r="E36" s="1" t="s">
        <v>138</v>
      </c>
      <c r="F36" s="6">
        <v>45607</v>
      </c>
      <c r="G36" s="6">
        <v>45600</v>
      </c>
      <c r="H36" s="1">
        <v>10</v>
      </c>
      <c r="I36" s="1" t="s">
        <v>123</v>
      </c>
      <c r="J36" s="1">
        <v>64</v>
      </c>
      <c r="K36" s="1" t="s">
        <v>78</v>
      </c>
      <c r="L36" s="1" t="s">
        <v>14</v>
      </c>
      <c r="M36" s="7">
        <v>30000</v>
      </c>
      <c r="N36" s="1">
        <v>56</v>
      </c>
      <c r="O36" s="1">
        <v>7</v>
      </c>
      <c r="P36" s="7">
        <v>33000</v>
      </c>
    </row>
    <row r="37" spans="1:16" x14ac:dyDescent="0.3">
      <c r="A37" s="4" t="s">
        <v>79</v>
      </c>
      <c r="B37" s="1">
        <v>0</v>
      </c>
      <c r="C37" s="1" t="s">
        <v>136</v>
      </c>
      <c r="D37" s="1">
        <v>0</v>
      </c>
      <c r="E37" s="1" t="s">
        <v>149</v>
      </c>
      <c r="F37" s="6">
        <v>45613</v>
      </c>
      <c r="G37" s="6">
        <v>45608</v>
      </c>
      <c r="H37" s="1">
        <v>10</v>
      </c>
      <c r="I37" s="1" t="s">
        <v>123</v>
      </c>
      <c r="J37" s="1">
        <v>48</v>
      </c>
      <c r="K37" s="1" t="s">
        <v>80</v>
      </c>
      <c r="L37" s="1" t="s">
        <v>14</v>
      </c>
      <c r="M37" s="7">
        <v>30000</v>
      </c>
      <c r="N37" s="1">
        <v>40</v>
      </c>
      <c r="O37" s="1">
        <v>5</v>
      </c>
      <c r="P37" s="7">
        <v>33000</v>
      </c>
    </row>
    <row r="38" spans="1:16" x14ac:dyDescent="0.3">
      <c r="A38" s="1" t="s">
        <v>81</v>
      </c>
      <c r="B38" s="1">
        <v>0</v>
      </c>
      <c r="C38" s="1" t="s">
        <v>136</v>
      </c>
      <c r="D38" s="1">
        <v>0</v>
      </c>
      <c r="E38" s="1" t="s">
        <v>129</v>
      </c>
      <c r="F38" s="6">
        <v>45616</v>
      </c>
      <c r="G38" s="6">
        <v>45614</v>
      </c>
      <c r="H38" s="1">
        <v>10</v>
      </c>
      <c r="I38" s="1" t="s">
        <v>123</v>
      </c>
      <c r="J38" s="1">
        <v>24</v>
      </c>
      <c r="K38" s="1" t="s">
        <v>82</v>
      </c>
      <c r="L38" s="1" t="s">
        <v>17</v>
      </c>
      <c r="M38" s="7">
        <v>10000</v>
      </c>
      <c r="N38" s="1">
        <v>24</v>
      </c>
      <c r="O38" s="1">
        <v>3</v>
      </c>
      <c r="P38" s="7">
        <v>10000</v>
      </c>
    </row>
    <row r="39" spans="1:16" x14ac:dyDescent="0.3">
      <c r="A39" s="4" t="s">
        <v>83</v>
      </c>
      <c r="B39" s="1">
        <v>0</v>
      </c>
      <c r="C39" s="1" t="s">
        <v>136</v>
      </c>
      <c r="D39" s="1">
        <v>0</v>
      </c>
      <c r="E39" s="1" t="s">
        <v>149</v>
      </c>
      <c r="F39" s="6">
        <v>45622</v>
      </c>
      <c r="G39" s="6">
        <v>45617</v>
      </c>
      <c r="H39" s="1">
        <v>11</v>
      </c>
      <c r="I39" s="1" t="s">
        <v>124</v>
      </c>
      <c r="J39" s="1">
        <v>48</v>
      </c>
      <c r="K39" s="1" t="s">
        <v>84</v>
      </c>
      <c r="L39" s="1" t="s">
        <v>14</v>
      </c>
      <c r="M39" s="7">
        <v>5000</v>
      </c>
      <c r="N39" s="1">
        <v>40</v>
      </c>
      <c r="O39" s="1">
        <v>5</v>
      </c>
      <c r="P39" s="7">
        <v>5500</v>
      </c>
    </row>
    <row r="40" spans="1:16" x14ac:dyDescent="0.3">
      <c r="A40" s="4" t="s">
        <v>85</v>
      </c>
      <c r="B40" s="1">
        <v>0</v>
      </c>
      <c r="C40" s="1" t="s">
        <v>136</v>
      </c>
      <c r="D40" s="1">
        <v>0</v>
      </c>
      <c r="E40" s="1" t="s">
        <v>131</v>
      </c>
      <c r="F40" s="6">
        <v>45626</v>
      </c>
      <c r="G40" s="6">
        <v>45623</v>
      </c>
      <c r="H40" s="1">
        <v>11</v>
      </c>
      <c r="I40" s="1" t="s">
        <v>124</v>
      </c>
      <c r="J40" s="1">
        <v>32</v>
      </c>
      <c r="K40" s="1" t="s">
        <v>86</v>
      </c>
      <c r="L40" s="1" t="s">
        <v>14</v>
      </c>
      <c r="M40" s="7">
        <v>3000</v>
      </c>
      <c r="N40" s="1">
        <v>24</v>
      </c>
      <c r="O40" s="1">
        <v>3</v>
      </c>
      <c r="P40" s="7">
        <v>3300</v>
      </c>
    </row>
    <row r="41" spans="1:16" x14ac:dyDescent="0.3">
      <c r="A41" s="1" t="s">
        <v>87</v>
      </c>
      <c r="B41" s="1">
        <v>0</v>
      </c>
      <c r="C41" s="1" t="s">
        <v>136</v>
      </c>
      <c r="D41" s="1">
        <v>0</v>
      </c>
      <c r="E41" s="1" t="s">
        <v>130</v>
      </c>
      <c r="F41" s="6">
        <v>45628</v>
      </c>
      <c r="G41" s="6">
        <v>45627</v>
      </c>
      <c r="H41" s="1">
        <v>11</v>
      </c>
      <c r="I41" s="1" t="s">
        <v>124</v>
      </c>
      <c r="J41" s="1">
        <v>16</v>
      </c>
      <c r="K41" s="1" t="s">
        <v>88</v>
      </c>
      <c r="L41" s="1" t="s">
        <v>17</v>
      </c>
      <c r="M41" s="7">
        <v>2000</v>
      </c>
      <c r="N41" s="1">
        <v>16</v>
      </c>
      <c r="O41" s="1">
        <v>2</v>
      </c>
      <c r="P41" s="7">
        <v>2000</v>
      </c>
    </row>
    <row r="42" spans="1:16" x14ac:dyDescent="0.3">
      <c r="A42" s="4" t="s">
        <v>89</v>
      </c>
      <c r="B42" s="1">
        <v>0</v>
      </c>
      <c r="C42" s="1" t="s">
        <v>136</v>
      </c>
      <c r="D42" s="1">
        <v>0</v>
      </c>
      <c r="E42" s="1" t="s">
        <v>131</v>
      </c>
      <c r="F42" s="6">
        <v>45662</v>
      </c>
      <c r="G42" s="6">
        <v>45659</v>
      </c>
      <c r="H42" s="1">
        <v>12</v>
      </c>
      <c r="I42" s="1" t="s">
        <v>125</v>
      </c>
      <c r="J42" s="1">
        <v>32</v>
      </c>
      <c r="K42" s="1" t="s">
        <v>90</v>
      </c>
      <c r="L42" s="1" t="s">
        <v>14</v>
      </c>
      <c r="M42" s="7">
        <v>5000</v>
      </c>
      <c r="N42" s="1">
        <v>24</v>
      </c>
      <c r="O42" s="1">
        <v>3</v>
      </c>
      <c r="P42" s="7">
        <v>5500</v>
      </c>
    </row>
    <row r="43" spans="1:16" x14ac:dyDescent="0.3">
      <c r="A43" s="4" t="s">
        <v>91</v>
      </c>
      <c r="B43" s="1">
        <v>0</v>
      </c>
      <c r="C43" s="1" t="s">
        <v>136</v>
      </c>
      <c r="D43" s="1">
        <v>0</v>
      </c>
      <c r="E43" s="1" t="s">
        <v>129</v>
      </c>
      <c r="F43" s="6">
        <v>45665</v>
      </c>
      <c r="G43" s="6">
        <v>45663</v>
      </c>
      <c r="H43" s="1">
        <v>12</v>
      </c>
      <c r="I43" s="1" t="s">
        <v>125</v>
      </c>
      <c r="J43" s="1">
        <v>24</v>
      </c>
      <c r="K43" s="1" t="s">
        <v>92</v>
      </c>
      <c r="L43" s="1" t="s">
        <v>14</v>
      </c>
      <c r="M43" s="7">
        <v>5000</v>
      </c>
      <c r="N43" s="1">
        <v>16</v>
      </c>
      <c r="O43" s="1">
        <v>2</v>
      </c>
      <c r="P43" s="7">
        <v>5500</v>
      </c>
    </row>
    <row r="44" spans="1:16" x14ac:dyDescent="0.3">
      <c r="A44" s="1" t="s">
        <v>93</v>
      </c>
      <c r="B44" s="1">
        <v>0</v>
      </c>
      <c r="C44" s="1" t="s">
        <v>136</v>
      </c>
      <c r="D44" s="1">
        <v>0</v>
      </c>
      <c r="E44" s="1" t="s">
        <v>130</v>
      </c>
      <c r="F44" s="6">
        <v>45667</v>
      </c>
      <c r="G44" s="6">
        <v>45666</v>
      </c>
      <c r="H44" s="1">
        <v>12</v>
      </c>
      <c r="I44" s="1" t="s">
        <v>125</v>
      </c>
      <c r="J44" s="1">
        <v>16</v>
      </c>
      <c r="K44" s="1" t="s">
        <v>94</v>
      </c>
      <c r="L44" s="1" t="s">
        <v>17</v>
      </c>
      <c r="M44" s="7">
        <v>5000</v>
      </c>
      <c r="N44" s="1">
        <v>16</v>
      </c>
      <c r="O44" s="1">
        <v>2</v>
      </c>
      <c r="P44" s="7">
        <v>5000</v>
      </c>
    </row>
    <row r="45" spans="1:16" x14ac:dyDescent="0.3">
      <c r="A45" s="4" t="s">
        <v>95</v>
      </c>
      <c r="B45" s="1">
        <v>0</v>
      </c>
      <c r="C45" s="1" t="s">
        <v>136</v>
      </c>
      <c r="D45" s="1">
        <v>0</v>
      </c>
      <c r="E45" s="1" t="s">
        <v>131</v>
      </c>
      <c r="F45" s="6">
        <v>45671</v>
      </c>
      <c r="G45" s="6">
        <v>45668</v>
      </c>
      <c r="H45" s="1">
        <v>13</v>
      </c>
      <c r="I45" s="1" t="s">
        <v>126</v>
      </c>
      <c r="J45" s="1">
        <v>32</v>
      </c>
      <c r="K45" s="1" t="s">
        <v>96</v>
      </c>
      <c r="L45" s="1" t="s">
        <v>14</v>
      </c>
      <c r="M45" s="7">
        <v>2000</v>
      </c>
      <c r="N45" s="1">
        <v>24</v>
      </c>
      <c r="O45" s="1">
        <v>3</v>
      </c>
      <c r="P45" s="7">
        <v>2200</v>
      </c>
    </row>
    <row r="46" spans="1:16" x14ac:dyDescent="0.3">
      <c r="A46" s="1" t="s">
        <v>97</v>
      </c>
      <c r="B46" s="1">
        <v>0</v>
      </c>
      <c r="C46" s="1" t="s">
        <v>136</v>
      </c>
      <c r="D46" s="1">
        <v>0</v>
      </c>
      <c r="E46" s="1" t="s">
        <v>130</v>
      </c>
      <c r="F46" s="6">
        <v>45673</v>
      </c>
      <c r="G46" s="6">
        <v>45672</v>
      </c>
      <c r="H46" s="1">
        <v>13</v>
      </c>
      <c r="I46" s="1" t="s">
        <v>126</v>
      </c>
      <c r="J46" s="1">
        <v>16</v>
      </c>
      <c r="K46" s="1" t="s">
        <v>98</v>
      </c>
      <c r="L46" s="1" t="s">
        <v>17</v>
      </c>
      <c r="M46" s="7">
        <v>2000</v>
      </c>
      <c r="N46" s="1">
        <v>16</v>
      </c>
      <c r="O46" s="1">
        <v>2</v>
      </c>
      <c r="P46" s="7">
        <v>2000</v>
      </c>
    </row>
    <row r="47" spans="1:16" x14ac:dyDescent="0.3">
      <c r="A47" s="1" t="s">
        <v>99</v>
      </c>
      <c r="B47" s="1">
        <v>0</v>
      </c>
      <c r="C47" s="1" t="s">
        <v>136</v>
      </c>
      <c r="D47" s="1">
        <v>0</v>
      </c>
      <c r="E47" s="1" t="s">
        <v>150</v>
      </c>
      <c r="F47" s="6">
        <v>45674</v>
      </c>
      <c r="G47" s="6">
        <v>45674</v>
      </c>
      <c r="H47" s="1">
        <v>13</v>
      </c>
      <c r="I47" s="1" t="s">
        <v>126</v>
      </c>
      <c r="J47" s="1">
        <v>8</v>
      </c>
      <c r="K47" s="1" t="s">
        <v>100</v>
      </c>
      <c r="L47" s="1" t="s">
        <v>17</v>
      </c>
      <c r="M47" s="7">
        <v>1000</v>
      </c>
      <c r="N47" s="1">
        <v>8</v>
      </c>
      <c r="O47" s="1">
        <v>1</v>
      </c>
      <c r="P47" s="7">
        <v>1000</v>
      </c>
    </row>
    <row r="48" spans="1:16" x14ac:dyDescent="0.3">
      <c r="A48" s="4" t="s">
        <v>101</v>
      </c>
      <c r="B48" s="1">
        <v>0</v>
      </c>
      <c r="C48" s="1" t="s">
        <v>136</v>
      </c>
      <c r="D48" s="1">
        <v>0</v>
      </c>
      <c r="E48" s="1" t="s">
        <v>131</v>
      </c>
      <c r="F48" s="6">
        <v>45678</v>
      </c>
      <c r="G48" s="6">
        <v>45675</v>
      </c>
      <c r="H48" s="1">
        <v>14</v>
      </c>
      <c r="I48" s="1" t="s">
        <v>127</v>
      </c>
      <c r="J48" s="1">
        <v>32</v>
      </c>
      <c r="K48" s="1" t="s">
        <v>102</v>
      </c>
      <c r="L48" s="1" t="s">
        <v>14</v>
      </c>
      <c r="M48" s="7">
        <v>2000</v>
      </c>
      <c r="N48" s="1">
        <v>24</v>
      </c>
      <c r="O48" s="1">
        <v>3</v>
      </c>
      <c r="P48" s="7">
        <v>2200</v>
      </c>
    </row>
    <row r="49" spans="1:16" x14ac:dyDescent="0.3">
      <c r="A49" s="1" t="s">
        <v>103</v>
      </c>
      <c r="B49" s="1">
        <v>0</v>
      </c>
      <c r="C49" s="1" t="s">
        <v>136</v>
      </c>
      <c r="D49" s="1">
        <v>0</v>
      </c>
      <c r="E49" s="1" t="s">
        <v>150</v>
      </c>
      <c r="F49" s="6">
        <v>45679</v>
      </c>
      <c r="G49" s="6">
        <v>45679</v>
      </c>
      <c r="H49" s="1">
        <v>14</v>
      </c>
      <c r="I49" s="1" t="s">
        <v>127</v>
      </c>
      <c r="J49" s="1">
        <v>8</v>
      </c>
      <c r="K49" s="1" t="s">
        <v>104</v>
      </c>
      <c r="L49" s="1" t="s">
        <v>17</v>
      </c>
      <c r="M49" s="1">
        <v>500</v>
      </c>
      <c r="N49" s="1">
        <v>8</v>
      </c>
      <c r="O49" s="1">
        <v>1</v>
      </c>
      <c r="P49" s="1">
        <v>500</v>
      </c>
    </row>
    <row r="50" spans="1:16" x14ac:dyDescent="0.3">
      <c r="A50" s="1" t="s">
        <v>105</v>
      </c>
      <c r="B50" s="1">
        <v>0</v>
      </c>
      <c r="C50" s="1" t="s">
        <v>136</v>
      </c>
      <c r="D50" s="1">
        <v>0</v>
      </c>
      <c r="E50" s="1" t="s">
        <v>150</v>
      </c>
      <c r="F50" s="6">
        <v>45680</v>
      </c>
      <c r="G50" s="6">
        <v>45680</v>
      </c>
      <c r="H50" s="1">
        <v>14</v>
      </c>
      <c r="I50" s="1" t="s">
        <v>127</v>
      </c>
      <c r="J50" s="1">
        <v>8</v>
      </c>
      <c r="K50" s="1" t="s">
        <v>106</v>
      </c>
      <c r="L50" s="1" t="s">
        <v>17</v>
      </c>
      <c r="M50" s="1">
        <v>500</v>
      </c>
      <c r="N50" s="1">
        <v>8</v>
      </c>
      <c r="O50" s="1">
        <v>1</v>
      </c>
      <c r="P50" s="1">
        <v>500</v>
      </c>
    </row>
    <row r="51" spans="1:16" x14ac:dyDescent="0.3">
      <c r="A51" s="1" t="s">
        <v>107</v>
      </c>
      <c r="B51" s="1">
        <v>0</v>
      </c>
      <c r="C51" s="1" t="s">
        <v>136</v>
      </c>
      <c r="D51" s="1">
        <v>0</v>
      </c>
      <c r="E51" s="1" t="s">
        <v>150</v>
      </c>
      <c r="F51" s="6">
        <v>45681</v>
      </c>
      <c r="G51" s="6">
        <v>45681</v>
      </c>
      <c r="H51" s="1">
        <v>14</v>
      </c>
      <c r="I51" s="1" t="s">
        <v>127</v>
      </c>
      <c r="J51" s="1">
        <v>8</v>
      </c>
      <c r="K51" s="1" t="s">
        <v>108</v>
      </c>
      <c r="L51" s="1" t="s">
        <v>17</v>
      </c>
      <c r="M51" s="1">
        <v>500</v>
      </c>
      <c r="N51" s="1">
        <v>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88697-F1E7-434B-8C0E-4CFCA4F9B6CB}">
  <dimension ref="B2:F49"/>
  <sheetViews>
    <sheetView topLeftCell="A20" workbookViewId="0">
      <selection activeCell="F2" sqref="F2:F49"/>
    </sheetView>
  </sheetViews>
  <sheetFormatPr defaultRowHeight="14.4" x14ac:dyDescent="0.3"/>
  <sheetData>
    <row r="2" spans="2:6" x14ac:dyDescent="0.3">
      <c r="B2">
        <v>3</v>
      </c>
      <c r="C2">
        <v>3</v>
      </c>
      <c r="D2" t="s">
        <v>128</v>
      </c>
      <c r="E2" t="str">
        <f>B2&amp; D2</f>
        <v>3 dias</v>
      </c>
      <c r="F2" t="str">
        <f>C2&amp;D2</f>
        <v>3 dias</v>
      </c>
    </row>
    <row r="3" spans="2:6" x14ac:dyDescent="0.3">
      <c r="B3">
        <v>2</v>
      </c>
      <c r="C3">
        <v>2</v>
      </c>
      <c r="D3" t="s">
        <v>128</v>
      </c>
      <c r="E3" t="str">
        <f t="shared" ref="E3:E49" si="0">B3&amp; D3</f>
        <v>2 dias</v>
      </c>
      <c r="F3" t="str">
        <f t="shared" ref="F3:F49" si="1">C3&amp;D3</f>
        <v>2 dias</v>
      </c>
    </row>
    <row r="4" spans="2:6" x14ac:dyDescent="0.3">
      <c r="B4">
        <v>2</v>
      </c>
      <c r="C4">
        <v>2</v>
      </c>
      <c r="D4" t="s">
        <v>128</v>
      </c>
      <c r="E4" t="str">
        <f t="shared" si="0"/>
        <v>2 dias</v>
      </c>
      <c r="F4" t="str">
        <f t="shared" si="1"/>
        <v>2 dias</v>
      </c>
    </row>
    <row r="5" spans="2:6" x14ac:dyDescent="0.3">
      <c r="B5">
        <v>4</v>
      </c>
      <c r="C5">
        <v>4</v>
      </c>
      <c r="D5" t="s">
        <v>128</v>
      </c>
      <c r="E5" t="str">
        <f t="shared" si="0"/>
        <v>4 dias</v>
      </c>
      <c r="F5" t="str">
        <f t="shared" si="1"/>
        <v>4 dias</v>
      </c>
    </row>
    <row r="6" spans="2:6" x14ac:dyDescent="0.3">
      <c r="B6">
        <v>5</v>
      </c>
      <c r="C6">
        <v>5</v>
      </c>
      <c r="D6" t="s">
        <v>128</v>
      </c>
      <c r="E6" t="str">
        <f t="shared" si="0"/>
        <v>5 dias</v>
      </c>
      <c r="F6" t="str">
        <f t="shared" si="1"/>
        <v>5 dias</v>
      </c>
    </row>
    <row r="7" spans="2:6" x14ac:dyDescent="0.3">
      <c r="B7">
        <v>3</v>
      </c>
      <c r="C7">
        <v>3</v>
      </c>
      <c r="D7" t="s">
        <v>128</v>
      </c>
      <c r="E7" t="str">
        <f t="shared" si="0"/>
        <v>3 dias</v>
      </c>
      <c r="F7" t="str">
        <f t="shared" si="1"/>
        <v>3 dias</v>
      </c>
    </row>
    <row r="8" spans="2:6" x14ac:dyDescent="0.3">
      <c r="B8">
        <v>2</v>
      </c>
      <c r="C8">
        <v>2</v>
      </c>
      <c r="D8" t="s">
        <v>128</v>
      </c>
      <c r="E8" t="str">
        <f t="shared" si="0"/>
        <v>2 dias</v>
      </c>
      <c r="F8" t="str">
        <f t="shared" si="1"/>
        <v>2 dias</v>
      </c>
    </row>
    <row r="9" spans="2:6" x14ac:dyDescent="0.3">
      <c r="B9">
        <v>28</v>
      </c>
      <c r="C9">
        <v>28</v>
      </c>
      <c r="D9" t="s">
        <v>128</v>
      </c>
      <c r="E9" t="str">
        <f t="shared" si="0"/>
        <v>28 dias</v>
      </c>
      <c r="F9" t="str">
        <f t="shared" si="1"/>
        <v>28 dias</v>
      </c>
    </row>
    <row r="10" spans="2:6" x14ac:dyDescent="0.3">
      <c r="B10">
        <v>12</v>
      </c>
      <c r="C10">
        <v>12</v>
      </c>
      <c r="D10" t="s">
        <v>128</v>
      </c>
      <c r="E10" t="str">
        <f t="shared" si="0"/>
        <v>12 dias</v>
      </c>
      <c r="F10" t="str">
        <f t="shared" si="1"/>
        <v>12 dias</v>
      </c>
    </row>
    <row r="11" spans="2:6" x14ac:dyDescent="0.3">
      <c r="B11">
        <v>18</v>
      </c>
      <c r="C11">
        <v>18</v>
      </c>
      <c r="D11" t="s">
        <v>128</v>
      </c>
      <c r="E11" t="str">
        <f t="shared" si="0"/>
        <v>18 dias</v>
      </c>
      <c r="F11" t="str">
        <f t="shared" si="1"/>
        <v>18 dias</v>
      </c>
    </row>
    <row r="12" spans="2:6" x14ac:dyDescent="0.3">
      <c r="B12">
        <v>0</v>
      </c>
      <c r="C12">
        <v>7</v>
      </c>
      <c r="D12" t="s">
        <v>128</v>
      </c>
      <c r="E12" t="str">
        <f t="shared" si="0"/>
        <v>0 dias</v>
      </c>
      <c r="F12" t="str">
        <f t="shared" si="1"/>
        <v>7 dias</v>
      </c>
    </row>
    <row r="13" spans="2:6" x14ac:dyDescent="0.3">
      <c r="B13">
        <v>15</v>
      </c>
      <c r="C13">
        <v>15</v>
      </c>
      <c r="D13" t="s">
        <v>128</v>
      </c>
      <c r="E13" t="str">
        <f t="shared" si="0"/>
        <v>15 dias</v>
      </c>
      <c r="F13" t="str">
        <f t="shared" si="1"/>
        <v>15 dias</v>
      </c>
    </row>
    <row r="14" spans="2:6" x14ac:dyDescent="0.3">
      <c r="B14">
        <v>8</v>
      </c>
      <c r="C14">
        <v>8</v>
      </c>
      <c r="D14" t="s">
        <v>128</v>
      </c>
      <c r="E14" t="str">
        <f t="shared" si="0"/>
        <v>8 dias</v>
      </c>
      <c r="F14" t="str">
        <f t="shared" si="1"/>
        <v>8 dias</v>
      </c>
    </row>
    <row r="15" spans="2:6" x14ac:dyDescent="0.3">
      <c r="B15">
        <v>35</v>
      </c>
      <c r="C15">
        <v>35</v>
      </c>
      <c r="D15" t="s">
        <v>128</v>
      </c>
      <c r="E15" t="str">
        <f t="shared" si="0"/>
        <v>35 dias</v>
      </c>
      <c r="F15" t="str">
        <f t="shared" si="1"/>
        <v>35 dias</v>
      </c>
    </row>
    <row r="16" spans="2:6" x14ac:dyDescent="0.3">
      <c r="B16">
        <v>8</v>
      </c>
      <c r="C16">
        <v>8</v>
      </c>
      <c r="D16" t="s">
        <v>128</v>
      </c>
      <c r="E16" t="str">
        <f t="shared" si="0"/>
        <v>8 dias</v>
      </c>
      <c r="F16" t="str">
        <f t="shared" si="1"/>
        <v>8 dias</v>
      </c>
    </row>
    <row r="17" spans="2:6" x14ac:dyDescent="0.3">
      <c r="B17">
        <v>10</v>
      </c>
      <c r="C17">
        <v>10</v>
      </c>
      <c r="D17" t="s">
        <v>128</v>
      </c>
      <c r="E17" t="str">
        <f t="shared" si="0"/>
        <v>10 dias</v>
      </c>
      <c r="F17" t="str">
        <f t="shared" si="1"/>
        <v>10 dias</v>
      </c>
    </row>
    <row r="18" spans="2:6" x14ac:dyDescent="0.3">
      <c r="B18">
        <v>5</v>
      </c>
      <c r="C18">
        <v>5</v>
      </c>
      <c r="D18" t="s">
        <v>128</v>
      </c>
      <c r="E18" t="str">
        <f t="shared" si="0"/>
        <v>5 dias</v>
      </c>
      <c r="F18" t="str">
        <f t="shared" si="1"/>
        <v>5 dias</v>
      </c>
    </row>
    <row r="19" spans="2:6" x14ac:dyDescent="0.3">
      <c r="B19">
        <v>5</v>
      </c>
      <c r="C19">
        <v>5</v>
      </c>
      <c r="D19" t="s">
        <v>128</v>
      </c>
      <c r="E19" t="str">
        <f t="shared" si="0"/>
        <v>5 dias</v>
      </c>
      <c r="F19" t="str">
        <f t="shared" si="1"/>
        <v>5 dias</v>
      </c>
    </row>
    <row r="20" spans="2:6" x14ac:dyDescent="0.3">
      <c r="B20">
        <v>9</v>
      </c>
      <c r="C20">
        <v>7</v>
      </c>
      <c r="D20" t="s">
        <v>128</v>
      </c>
      <c r="E20" t="str">
        <f t="shared" si="0"/>
        <v>9 dias</v>
      </c>
      <c r="F20" t="str">
        <f t="shared" si="1"/>
        <v>7 dias</v>
      </c>
    </row>
    <row r="21" spans="2:6" x14ac:dyDescent="0.3">
      <c r="B21">
        <v>5</v>
      </c>
      <c r="C21">
        <v>5</v>
      </c>
      <c r="D21" t="s">
        <v>128</v>
      </c>
      <c r="E21" t="str">
        <f t="shared" si="0"/>
        <v>5 dias</v>
      </c>
      <c r="F21" t="str">
        <f t="shared" si="1"/>
        <v>5 dias</v>
      </c>
    </row>
    <row r="22" spans="2:6" x14ac:dyDescent="0.3">
      <c r="B22">
        <v>2</v>
      </c>
      <c r="C22">
        <v>2</v>
      </c>
      <c r="D22" t="s">
        <v>128</v>
      </c>
      <c r="E22" t="str">
        <f t="shared" si="0"/>
        <v>2 dias</v>
      </c>
      <c r="F22" t="str">
        <f t="shared" si="1"/>
        <v>2 dias</v>
      </c>
    </row>
    <row r="23" spans="2:6" x14ac:dyDescent="0.3">
      <c r="B23">
        <v>14</v>
      </c>
      <c r="C23">
        <v>14</v>
      </c>
      <c r="D23" t="s">
        <v>128</v>
      </c>
      <c r="E23" t="str">
        <f t="shared" si="0"/>
        <v>14 dias</v>
      </c>
      <c r="F23" t="str">
        <f t="shared" si="1"/>
        <v>14 dias</v>
      </c>
    </row>
    <row r="24" spans="2:6" x14ac:dyDescent="0.3">
      <c r="B24">
        <v>7</v>
      </c>
      <c r="C24">
        <v>7</v>
      </c>
      <c r="D24" t="s">
        <v>128</v>
      </c>
      <c r="E24" t="str">
        <f t="shared" si="0"/>
        <v>7 dias</v>
      </c>
      <c r="F24" t="str">
        <f t="shared" si="1"/>
        <v>7 dias</v>
      </c>
    </row>
    <row r="25" spans="2:6" x14ac:dyDescent="0.3">
      <c r="B25">
        <v>60</v>
      </c>
      <c r="C25">
        <v>55</v>
      </c>
      <c r="D25" t="s">
        <v>128</v>
      </c>
      <c r="E25" t="str">
        <f t="shared" si="0"/>
        <v>60 dias</v>
      </c>
      <c r="F25" t="str">
        <f t="shared" si="1"/>
        <v>55 dias</v>
      </c>
    </row>
    <row r="26" spans="2:6" x14ac:dyDescent="0.3">
      <c r="B26">
        <v>4</v>
      </c>
      <c r="C26">
        <v>4</v>
      </c>
      <c r="D26" t="s">
        <v>128</v>
      </c>
      <c r="E26" t="str">
        <f t="shared" si="0"/>
        <v>4 dias</v>
      </c>
      <c r="F26" t="str">
        <f t="shared" si="1"/>
        <v>4 dias</v>
      </c>
    </row>
    <row r="27" spans="2:6" x14ac:dyDescent="0.3">
      <c r="B27">
        <v>8</v>
      </c>
      <c r="C27">
        <v>8</v>
      </c>
      <c r="D27" t="s">
        <v>128</v>
      </c>
      <c r="E27" t="str">
        <f t="shared" si="0"/>
        <v>8 dias</v>
      </c>
      <c r="F27" t="str">
        <f t="shared" si="1"/>
        <v>8 dias</v>
      </c>
    </row>
    <row r="28" spans="2:6" x14ac:dyDescent="0.3">
      <c r="B28">
        <v>16</v>
      </c>
      <c r="C28">
        <v>14</v>
      </c>
      <c r="D28" t="s">
        <v>128</v>
      </c>
      <c r="E28" t="str">
        <f t="shared" si="0"/>
        <v>16 dias</v>
      </c>
      <c r="F28" t="str">
        <f t="shared" si="1"/>
        <v>14 dias</v>
      </c>
    </row>
    <row r="29" spans="2:6" x14ac:dyDescent="0.3">
      <c r="B29">
        <v>0</v>
      </c>
      <c r="C29">
        <v>3</v>
      </c>
      <c r="D29" t="s">
        <v>128</v>
      </c>
      <c r="E29" t="str">
        <f t="shared" si="0"/>
        <v>0 dias</v>
      </c>
      <c r="F29" t="str">
        <f t="shared" si="1"/>
        <v>3 dias</v>
      </c>
    </row>
    <row r="30" spans="2:6" x14ac:dyDescent="0.3">
      <c r="B30">
        <v>4</v>
      </c>
      <c r="C30">
        <v>3</v>
      </c>
      <c r="D30" t="s">
        <v>128</v>
      </c>
      <c r="E30" t="str">
        <f t="shared" si="0"/>
        <v>4 dias</v>
      </c>
      <c r="F30" t="str">
        <f t="shared" si="1"/>
        <v>3 dias</v>
      </c>
    </row>
    <row r="31" spans="2:6" x14ac:dyDescent="0.3">
      <c r="B31">
        <v>25</v>
      </c>
      <c r="C31">
        <v>22</v>
      </c>
      <c r="D31" t="s">
        <v>128</v>
      </c>
      <c r="E31" t="str">
        <f t="shared" si="0"/>
        <v>25 dias</v>
      </c>
      <c r="F31" t="str">
        <f t="shared" si="1"/>
        <v>22 dias</v>
      </c>
    </row>
    <row r="32" spans="2:6" x14ac:dyDescent="0.3">
      <c r="B32">
        <v>7</v>
      </c>
      <c r="C32">
        <v>6</v>
      </c>
      <c r="D32" t="s">
        <v>128</v>
      </c>
      <c r="E32" t="str">
        <f t="shared" si="0"/>
        <v>7 dias</v>
      </c>
      <c r="F32" t="str">
        <f t="shared" si="1"/>
        <v>6 dias</v>
      </c>
    </row>
    <row r="33" spans="2:6" x14ac:dyDescent="0.3">
      <c r="B33">
        <v>0</v>
      </c>
      <c r="C33">
        <v>3</v>
      </c>
      <c r="D33" t="s">
        <v>128</v>
      </c>
      <c r="E33" t="str">
        <f t="shared" si="0"/>
        <v>0 dias</v>
      </c>
      <c r="F33" t="str">
        <f t="shared" si="1"/>
        <v>3 dias</v>
      </c>
    </row>
    <row r="34" spans="2:6" x14ac:dyDescent="0.3">
      <c r="B34">
        <v>0</v>
      </c>
      <c r="C34">
        <v>8</v>
      </c>
      <c r="D34" t="s">
        <v>128</v>
      </c>
      <c r="E34" t="str">
        <f t="shared" si="0"/>
        <v>0 dias</v>
      </c>
      <c r="F34" t="str">
        <f t="shared" si="1"/>
        <v>8 dias</v>
      </c>
    </row>
    <row r="35" spans="2:6" x14ac:dyDescent="0.3">
      <c r="B35">
        <v>0</v>
      </c>
      <c r="C35">
        <v>6</v>
      </c>
      <c r="D35" t="s">
        <v>128</v>
      </c>
      <c r="E35" t="str">
        <f t="shared" si="0"/>
        <v>0 dias</v>
      </c>
      <c r="F35" t="str">
        <f t="shared" si="1"/>
        <v>6 dias</v>
      </c>
    </row>
    <row r="36" spans="2:6" x14ac:dyDescent="0.3">
      <c r="B36">
        <v>0</v>
      </c>
      <c r="C36">
        <v>3</v>
      </c>
      <c r="D36" t="s">
        <v>128</v>
      </c>
      <c r="E36" t="str">
        <f t="shared" si="0"/>
        <v>0 dias</v>
      </c>
      <c r="F36" t="str">
        <f t="shared" si="1"/>
        <v>3 dias</v>
      </c>
    </row>
    <row r="37" spans="2:6" x14ac:dyDescent="0.3">
      <c r="B37">
        <v>0</v>
      </c>
      <c r="C37">
        <v>6</v>
      </c>
      <c r="D37" t="s">
        <v>128</v>
      </c>
      <c r="E37" t="str">
        <f t="shared" si="0"/>
        <v>0 dias</v>
      </c>
      <c r="F37" t="str">
        <f t="shared" si="1"/>
        <v>6 dias</v>
      </c>
    </row>
    <row r="38" spans="2:6" x14ac:dyDescent="0.3">
      <c r="B38">
        <v>0</v>
      </c>
      <c r="C38">
        <v>4</v>
      </c>
      <c r="D38" t="s">
        <v>128</v>
      </c>
      <c r="E38" t="str">
        <f t="shared" si="0"/>
        <v>0 dias</v>
      </c>
      <c r="F38" t="str">
        <f t="shared" si="1"/>
        <v>4 dias</v>
      </c>
    </row>
    <row r="39" spans="2:6" x14ac:dyDescent="0.3">
      <c r="B39">
        <v>0</v>
      </c>
      <c r="C39">
        <v>2</v>
      </c>
      <c r="D39" t="s">
        <v>128</v>
      </c>
      <c r="E39" t="str">
        <f t="shared" si="0"/>
        <v>0 dias</v>
      </c>
      <c r="F39" t="str">
        <f t="shared" si="1"/>
        <v>2 dias</v>
      </c>
    </row>
    <row r="40" spans="2:6" x14ac:dyDescent="0.3">
      <c r="B40">
        <v>0</v>
      </c>
      <c r="C40">
        <v>4</v>
      </c>
      <c r="D40" t="s">
        <v>128</v>
      </c>
      <c r="E40" t="str">
        <f t="shared" si="0"/>
        <v>0 dias</v>
      </c>
      <c r="F40" t="str">
        <f t="shared" si="1"/>
        <v>4 dias</v>
      </c>
    </row>
    <row r="41" spans="2:6" x14ac:dyDescent="0.3">
      <c r="B41">
        <v>0</v>
      </c>
      <c r="C41">
        <v>3</v>
      </c>
      <c r="D41" t="s">
        <v>128</v>
      </c>
      <c r="E41" t="str">
        <f t="shared" si="0"/>
        <v>0 dias</v>
      </c>
      <c r="F41" t="str">
        <f t="shared" si="1"/>
        <v>3 dias</v>
      </c>
    </row>
    <row r="42" spans="2:6" x14ac:dyDescent="0.3">
      <c r="B42">
        <v>0</v>
      </c>
      <c r="C42">
        <v>2</v>
      </c>
      <c r="D42" t="s">
        <v>128</v>
      </c>
      <c r="E42" t="str">
        <f t="shared" si="0"/>
        <v>0 dias</v>
      </c>
      <c r="F42" t="str">
        <f t="shared" si="1"/>
        <v>2 dias</v>
      </c>
    </row>
    <row r="43" spans="2:6" x14ac:dyDescent="0.3">
      <c r="B43">
        <v>0</v>
      </c>
      <c r="C43">
        <v>4</v>
      </c>
      <c r="D43" t="s">
        <v>128</v>
      </c>
      <c r="E43" t="str">
        <f t="shared" si="0"/>
        <v>0 dias</v>
      </c>
      <c r="F43" t="str">
        <f t="shared" si="1"/>
        <v>4 dias</v>
      </c>
    </row>
    <row r="44" spans="2:6" x14ac:dyDescent="0.3">
      <c r="B44">
        <v>0</v>
      </c>
      <c r="C44">
        <v>2</v>
      </c>
      <c r="D44" t="s">
        <v>128</v>
      </c>
      <c r="E44" t="str">
        <f t="shared" si="0"/>
        <v>0 dias</v>
      </c>
      <c r="F44" t="str">
        <f t="shared" si="1"/>
        <v>2 dias</v>
      </c>
    </row>
    <row r="45" spans="2:6" x14ac:dyDescent="0.3">
      <c r="B45">
        <v>0</v>
      </c>
      <c r="C45">
        <v>1</v>
      </c>
      <c r="D45" t="s">
        <v>128</v>
      </c>
      <c r="E45" t="str">
        <f t="shared" si="0"/>
        <v>0 dias</v>
      </c>
      <c r="F45" t="str">
        <f t="shared" si="1"/>
        <v>1 dias</v>
      </c>
    </row>
    <row r="46" spans="2:6" x14ac:dyDescent="0.3">
      <c r="B46">
        <v>0</v>
      </c>
      <c r="C46">
        <v>4</v>
      </c>
      <c r="D46" t="s">
        <v>128</v>
      </c>
      <c r="E46" t="str">
        <f t="shared" si="0"/>
        <v>0 dias</v>
      </c>
      <c r="F46" t="str">
        <f t="shared" si="1"/>
        <v>4 dias</v>
      </c>
    </row>
    <row r="47" spans="2:6" x14ac:dyDescent="0.3">
      <c r="B47">
        <v>0</v>
      </c>
      <c r="C47">
        <v>1</v>
      </c>
      <c r="D47" t="s">
        <v>128</v>
      </c>
      <c r="E47" t="str">
        <f t="shared" si="0"/>
        <v>0 dias</v>
      </c>
      <c r="F47" t="str">
        <f t="shared" si="1"/>
        <v>1 dias</v>
      </c>
    </row>
    <row r="48" spans="2:6" x14ac:dyDescent="0.3">
      <c r="B48">
        <v>0</v>
      </c>
      <c r="C48">
        <v>1</v>
      </c>
      <c r="D48" t="s">
        <v>128</v>
      </c>
      <c r="E48" t="str">
        <f t="shared" si="0"/>
        <v>0 dias</v>
      </c>
      <c r="F48" t="str">
        <f t="shared" si="1"/>
        <v>1 dias</v>
      </c>
    </row>
    <row r="49" spans="2:6" x14ac:dyDescent="0.3">
      <c r="B49">
        <v>0</v>
      </c>
      <c r="C49">
        <v>1</v>
      </c>
      <c r="D49" t="s">
        <v>128</v>
      </c>
      <c r="E49" t="str">
        <f t="shared" si="0"/>
        <v>0 dias</v>
      </c>
      <c r="F49" t="str">
        <f t="shared" si="1"/>
        <v>1 dias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Icaro Abreu de Vasconcelos</dc:creator>
  <cp:lastModifiedBy>Icaro Abreu de Vasconcelos</cp:lastModifiedBy>
  <dcterms:created xsi:type="dcterms:W3CDTF">2024-10-27T12:35:51Z</dcterms:created>
  <dcterms:modified xsi:type="dcterms:W3CDTF">2024-10-31T23:47:37Z</dcterms:modified>
</cp:coreProperties>
</file>